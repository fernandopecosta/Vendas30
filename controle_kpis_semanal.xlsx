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Dashboard" sheetId="2" state="visible" r:id="rId2"/>
    <sheet name="Metas" sheetId="3" state="visible" r:id="rId3"/>
    <sheet name="Sem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"/>
    <numFmt numFmtId="166" formatCode="R$ #,##0"/>
    <numFmt numFmtId="167" formatCode="0.0&quot;x&quot;"/>
    <numFmt numFmtId="168" formatCode="yyyy-mm-dd"/>
    <numFmt numFmtId="169" formatCode="DD/MM/YYYY"/>
    <numFmt numFmtId="170" formatCode="+0.0%;-0.0%;-"/>
    <numFmt numFmtId="171" formatCode="+0.0;-0.0;-"/>
    <numFmt numFmtId="172" formatCode="R$ #,##0;($R$ #,##0);-"/>
    <numFmt numFmtId="173" formatCode="DD/MM"/>
  </numFmts>
  <fonts count="13">
    <font>
      <name val="Calibri"/>
      <family val="2"/>
      <color theme="1"/>
      <sz val="11"/>
      <scheme val="minor"/>
    </font>
    <font>
      <name val="Calibri"/>
      <b val="1"/>
      <color rgb="00121816"/>
      <sz val="16"/>
    </font>
    <font>
      <name val="Calibri"/>
      <i val="1"/>
      <color rgb="00666666"/>
      <sz val="9"/>
    </font>
    <font>
      <name val="Calibri"/>
      <b val="1"/>
      <color rgb="00121816"/>
      <sz val="12"/>
    </font>
    <font>
      <name val="Calibri"/>
      <b val="1"/>
      <color rgb="00121816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666666"/>
      <sz val="9"/>
    </font>
    <font>
      <name val="Calibri"/>
      <color rgb="000000FF"/>
      <sz val="10"/>
    </font>
    <font>
      <name val="Calibri"/>
      <b val="1"/>
      <color rgb="00FFFFFF"/>
      <sz val="9"/>
    </font>
    <font>
      <name val="Calibri"/>
      <color rgb="00008000"/>
      <sz val="10"/>
    </font>
    <font>
      <name val="Calibri"/>
      <b val="1"/>
      <color rgb="00008000"/>
      <sz val="14"/>
    </font>
  </fonts>
  <fills count="10">
    <fill>
      <patternFill/>
    </fill>
    <fill>
      <patternFill patternType="gray125"/>
    </fill>
    <fill>
      <patternFill patternType="solid">
        <fgColor rgb="00F5EFE0"/>
      </patternFill>
    </fill>
    <fill>
      <patternFill patternType="solid">
        <fgColor rgb="00121816"/>
      </patternFill>
    </fill>
    <fill>
      <patternFill patternType="solid">
        <fgColor rgb="00FFF2CC"/>
      </patternFill>
    </fill>
    <fill>
      <patternFill patternType="solid">
        <fgColor rgb="00D9E8E0"/>
      </patternFill>
    </fill>
    <fill>
      <patternFill patternType="solid">
        <fgColor rgb="00F0E6DC"/>
      </patternFill>
    </fill>
    <fill>
      <patternFill patternType="solid">
        <fgColor rgb="002A4A4A"/>
      </patternFill>
    </fill>
    <fill>
      <patternFill patternType="solid">
        <fgColor rgb="006E4A36"/>
      </patternFill>
    </fill>
    <fill>
      <patternFill patternType="solid">
        <fgColor rgb="00A68B4B"/>
      </patternFill>
    </fill>
  </fills>
  <borders count="2">
    <border>
      <left/>
      <right/>
      <top/>
      <bottom/>
      <diagonal/>
    </border>
    <border>
      <left style="thin">
        <color rgb="00D4CFC4"/>
      </left>
      <right style="thin">
        <color rgb="00D4CFC4"/>
      </right>
      <top style="thin">
        <color rgb="00D4CFC4"/>
      </top>
      <bottom style="thin">
        <color rgb="00D4CFC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9" fontId="11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center" vertical="center" wrapText="1"/>
    </xf>
    <xf numFmtId="17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71" fontId="7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 wrapText="1"/>
    </xf>
    <xf numFmtId="172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9" borderId="0" pivotButton="0" quotePrefix="0" xfId="0"/>
    <xf numFmtId="0" fontId="3" fillId="0" borderId="0" pivotButton="0" quotePrefix="0" xfId="0"/>
    <xf numFmtId="164" fontId="12" fillId="0" borderId="0" pivotButton="0" quotePrefix="0" xfId="0"/>
    <xf numFmtId="0" fontId="6" fillId="3" borderId="0" pivotButton="0" quotePrefix="0" xfId="0"/>
    <xf numFmtId="173" fontId="11" fillId="0" borderId="0" pivotButton="0" quotePrefix="0" xfId="0"/>
    <xf numFmtId="164" fontId="11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166" fontId="9" fillId="4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6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6" fillId="9" borderId="0" pivotButton="0" quotePrefix="0" xfId="0"/>
    <xf numFmtId="0" fontId="10" fillId="3" borderId="1" applyAlignment="1" pivotButton="0" quotePrefix="0" xfId="0">
      <alignment horizontal="center" vertical="center" wrapText="1"/>
    </xf>
    <xf numFmtId="169" fontId="9" fillId="4" borderId="1" pivotButton="0" quotePrefix="0" xfId="0"/>
    <xf numFmtId="169" fontId="7" fillId="0" borderId="1" applyAlignment="1" pivotButton="0" quotePrefix="0" xfId="0">
      <alignment horizontal="center" vertical="center" wrapText="1"/>
    </xf>
    <xf numFmtId="1" fontId="9" fillId="4" borderId="1" pivotButton="0" quotePrefix="0" xfId="0"/>
    <xf numFmtId="166" fontId="9" fillId="4" borderId="1" pivotButton="0" quotePrefix="0" xfId="0"/>
    <xf numFmtId="164" fontId="9" fillId="4" borderId="1" pivotButton="0" quotePrefix="0" xfId="0"/>
    <xf numFmtId="164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5" fontId="9" fillId="4" borderId="1" pivotButton="0" quotePrefix="0" xfId="0"/>
    <xf numFmtId="165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Evolução North Stars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'Dashboard'!$A$39:$A$46</f>
            </numRef>
          </cat>
          <val>
            <numRef>
              <f>'Dashboard'!$B$39:$B$46</f>
            </numRef>
          </val>
        </ser>
        <ser>
          <idx val="1"/>
          <order val="1"/>
          <tx>
            <strRef>
              <f>'Dashboard'!C38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'Dashboard'!$A$39:$A$46</f>
            </numRef>
          </cat>
          <val>
            <numRef>
              <f>'Dashboard'!$C$39:$C$46</f>
            </numRef>
          </val>
        </ser>
        <ser>
          <idx val="2"/>
          <order val="2"/>
          <tx>
            <strRef>
              <f>'Dashboard'!D38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'Dashboard'!$A$39:$A$46</f>
            </numRef>
          </cat>
          <val>
            <numRef>
              <f>'Dashboard'!$D$39:$D$46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Controle Semanal de KPIs — Vendas Disruptivas B2B</t>
        </is>
      </c>
    </row>
    <row r="2">
      <c r="A2" s="2" t="inlineStr">
        <is>
          <t>Playbook Indústria de Móveis · Marketing + Vendas · Ritual de alinhamento semanal</t>
        </is>
      </c>
    </row>
    <row r="5">
      <c r="A5" s="3" t="inlineStr">
        <is>
          <t>Como usar</t>
        </is>
      </c>
    </row>
    <row r="6">
      <c r="A6" s="4" t="inlineStr">
        <is>
          <t>1. Metas</t>
        </is>
      </c>
      <c r="B6" s="5" t="inlineStr">
        <is>
          <t>Defina as metas anuais/mensais na aba Metas (células amarelas = editar).</t>
        </is>
      </c>
    </row>
    <row r="7">
      <c r="A7" s="4" t="inlineStr">
        <is>
          <t>2. Semanal</t>
        </is>
      </c>
      <c r="B7" s="5" t="inlineStr">
        <is>
          <t>Toda semana, preencha uma nova linha na aba Semanal. Valores em azul são inputs; pretos são fórmulas.</t>
        </is>
      </c>
    </row>
    <row r="8">
      <c r="A8" s="4" t="inlineStr">
        <is>
          <t>3. Dashboard</t>
        </is>
      </c>
      <c r="B8" s="5" t="inlineStr">
        <is>
          <t>Acompanhe status vs meta, últimas 8 semanas e o ritual da ponte Mkt → Vendas.</t>
        </is>
      </c>
    </row>
    <row r="9">
      <c r="A9" s="4" t="inlineStr">
        <is>
          <t>4. Ritual</t>
        </is>
      </c>
      <c r="B9" s="5" t="inlineStr">
        <is>
          <t>Reunião de 30 min: Aceite de SQL · SLA de contato · Motivos de perda. Anote na coluna Observações.</t>
        </is>
      </c>
    </row>
    <row r="11">
      <c r="A11" s="3" t="inlineStr">
        <is>
          <t>Legenda de cores</t>
        </is>
      </c>
    </row>
    <row r="12">
      <c r="A12" s="4" t="inlineStr">
        <is>
          <t>Azul (números)</t>
        </is>
      </c>
      <c r="B12" s="5" t="inlineStr">
        <is>
          <t>Inputs — você digita</t>
        </is>
      </c>
    </row>
    <row r="13">
      <c r="A13" s="4" t="inlineStr">
        <is>
          <t>Preto (números)</t>
        </is>
      </c>
      <c r="B13" s="5" t="inlineStr">
        <is>
          <t>Fórmulas — calculadas automaticamente</t>
        </is>
      </c>
    </row>
    <row r="14">
      <c r="A14" s="4" t="inlineStr">
        <is>
          <t>Verde (números)</t>
        </is>
      </c>
      <c r="B14" s="5" t="inlineStr">
        <is>
          <t>Valores puxados de outra aba</t>
        </is>
      </c>
    </row>
    <row r="15">
      <c r="A15" s="4" t="inlineStr">
        <is>
          <t>Amarelo</t>
        </is>
      </c>
      <c r="B15" s="5" t="inlineStr">
        <is>
          <t>Metas / células-chave para atualizar</t>
        </is>
      </c>
    </row>
    <row r="17">
      <c r="A17" s="3" t="inlineStr">
        <is>
          <t>North Stars</t>
        </is>
      </c>
    </row>
    <row r="18">
      <c r="A18" s="4" t="inlineStr">
        <is>
          <t>Marketing</t>
        </is>
      </c>
      <c r="B18" s="5" t="inlineStr">
        <is>
          <t>MQL → SQL  &gt; 40%</t>
        </is>
      </c>
    </row>
    <row r="19">
      <c r="A19" s="4" t="inlineStr">
        <is>
          <t>Vendas</t>
        </is>
      </c>
      <c r="B19" s="5" t="inlineStr">
        <is>
          <t>SQL → Cliente  &gt; 30%</t>
        </is>
      </c>
    </row>
    <row r="20">
      <c r="A20" s="4" t="inlineStr">
        <is>
          <t>Ponte</t>
        </is>
      </c>
      <c r="B20" s="5" t="inlineStr">
        <is>
          <t>Taxa de aceite de SQL  &gt; 80%</t>
        </is>
      </c>
    </row>
    <row r="22">
      <c r="A22" s="4" t="inlineStr">
        <is>
          <t>Fonte</t>
        </is>
      </c>
      <c r="B22" s="5" t="inlineStr">
        <is>
          <t>Alinhado ao playbook_vendas_disruptivas_moveis_b2b.html · Julho 2026</t>
        </is>
      </c>
    </row>
  </sheetData>
  <mergeCells count="17">
    <mergeCell ref="A2:F2"/>
    <mergeCell ref="B12:F12"/>
    <mergeCell ref="B7:F7"/>
    <mergeCell ref="A11:C11"/>
    <mergeCell ref="B6:F6"/>
    <mergeCell ref="A5:C5"/>
    <mergeCell ref="B20:F20"/>
    <mergeCell ref="B15:F15"/>
    <mergeCell ref="A1:F1"/>
    <mergeCell ref="B18:F18"/>
    <mergeCell ref="B19:F19"/>
    <mergeCell ref="A17:C17"/>
    <mergeCell ref="B14:F14"/>
    <mergeCell ref="B22:F22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Dashboard Semanal — KPIs</t>
        </is>
      </c>
    </row>
    <row r="2">
      <c r="A2" s="2" t="inlineStr">
        <is>
          <t>Última semana com dados preenchidos · Comparação automática com Metas</t>
        </is>
      </c>
    </row>
    <row r="4">
      <c r="A4" s="3" t="inlineStr">
        <is>
          <t>Resumo da última semana</t>
        </is>
      </c>
    </row>
    <row r="5">
      <c r="A5" t="inlineStr">
        <is>
          <t>Semana (início)</t>
        </is>
      </c>
      <c r="B5" s="6">
        <f>LOOKUP(2,1/(Semanal!E6:E21&lt;&gt;""),Semanal!B6:B21)</f>
        <v/>
      </c>
      <c r="C5" t="inlineStr">
        <is>
          <t>até</t>
        </is>
      </c>
      <c r="D5" s="6">
        <f>LOOKUP(2,1/(Semanal!E6:E21&lt;&gt;""),Semanal!C6:C21)</f>
        <v/>
      </c>
    </row>
    <row r="7">
      <c r="A7" s="7" t="inlineStr">
        <is>
          <t>Área</t>
        </is>
      </c>
      <c r="B7" s="7" t="inlineStr">
        <is>
          <t>KPI</t>
        </is>
      </c>
      <c r="C7" s="7" t="inlineStr">
        <is>
          <t>Resultado</t>
        </is>
      </c>
      <c r="D7" s="7" t="inlineStr">
        <is>
          <t>Meta</t>
        </is>
      </c>
      <c r="E7" s="7" t="inlineStr">
        <is>
          <t>Δ vs Meta</t>
        </is>
      </c>
      <c r="F7" s="7" t="inlineStr">
        <is>
          <t>Status</t>
        </is>
      </c>
      <c r="G7" s="7" t="inlineStr">
        <is>
          <t>Direção</t>
        </is>
      </c>
    </row>
    <row r="8">
      <c r="A8" s="8" t="inlineStr">
        <is>
          <t>Marketing</t>
        </is>
      </c>
      <c r="B8" s="9" t="inlineStr">
        <is>
          <t>MQL → SQL</t>
        </is>
      </c>
      <c r="C8" s="10">
        <f>IFERROR(LOOKUP(2,1/(Semanal!$E$6:$E$21&lt;&gt;""),Semanal!I$6:I$21),"")</f>
        <v/>
      </c>
      <c r="D8" s="10">
        <f>Metas!E5</f>
        <v/>
      </c>
      <c r="E8" s="11">
        <f>IF(OR(C8="",D8=""),"",C8-D8)</f>
        <v/>
      </c>
      <c r="F8" s="12">
        <f>IF(C8="","",IF(C8&gt;=D8,"No alvo","Abaixo da meta"))</f>
        <v/>
      </c>
      <c r="G8" s="13" t="inlineStr">
        <is>
          <t>↑ melhor</t>
        </is>
      </c>
    </row>
    <row r="9">
      <c r="A9" s="8" t="inlineStr">
        <is>
          <t>Marketing</t>
        </is>
      </c>
      <c r="B9" s="9" t="inlineStr">
        <is>
          <t>SQLs gerados</t>
        </is>
      </c>
      <c r="C9" s="14">
        <f>IFERROR(LOOKUP(2,1/(Semanal!$E$6:$E$21&lt;&gt;""),Semanal!E$6:E$21),"")</f>
        <v/>
      </c>
      <c r="D9" s="14">
        <f>Metas!E6</f>
        <v/>
      </c>
      <c r="E9" s="15">
        <f>IF(OR(C9="",D9=""),"",C9-D9)</f>
        <v/>
      </c>
      <c r="F9" s="12">
        <f>IF(C9="","",IF(C9&gt;=D9,"No alvo","Abaixo da meta"))</f>
        <v/>
      </c>
      <c r="G9" s="13" t="inlineStr">
        <is>
          <t>↑ melhor</t>
        </is>
      </c>
    </row>
    <row r="10">
      <c r="A10" s="8" t="inlineStr">
        <is>
          <t>Marketing</t>
        </is>
      </c>
      <c r="B10" s="9" t="inlineStr">
        <is>
          <t>CPSQL</t>
        </is>
      </c>
      <c r="C10" s="16">
        <f>IFERROR(LOOKUP(2,1/(Semanal!$E$6:$E$21&lt;&gt;""),Semanal!J$6:J$21),"")</f>
        <v/>
      </c>
      <c r="D10" s="16">
        <f>Metas!E7</f>
        <v/>
      </c>
      <c r="E10" s="17">
        <f>IF(OR(C10="",D10=""),"",D10-C10)</f>
        <v/>
      </c>
      <c r="F10" s="12">
        <f>IF(C10="","",IF(C10&lt;=D10,"No alvo","Acima da meta"))</f>
        <v/>
      </c>
      <c r="G10" s="13" t="inlineStr">
        <is>
          <t>↓ melhor</t>
        </is>
      </c>
    </row>
    <row r="11">
      <c r="A11" s="8" t="inlineStr">
        <is>
          <t>Marketing</t>
        </is>
      </c>
      <c r="B11" s="9" t="inlineStr">
        <is>
          <t>Engajamento</t>
        </is>
      </c>
      <c r="C11" s="10">
        <f>IFERROR(LOOKUP(2,1/(Semanal!$E$6:$E$21&lt;&gt;""),Semanal!G$6:G$21),"")</f>
        <v/>
      </c>
      <c r="D11" s="10">
        <f>Metas!E8</f>
        <v/>
      </c>
      <c r="E11" s="11">
        <f>IF(OR(C11="",D11=""),"",C11-D11)</f>
        <v/>
      </c>
      <c r="F11" s="12">
        <f>IF(C11="","",IF(C11&gt;=D11,"No alvo","Abaixo da meta"))</f>
        <v/>
      </c>
      <c r="G11" s="13" t="inlineStr">
        <is>
          <t>↑ melhor</t>
        </is>
      </c>
    </row>
    <row r="12">
      <c r="A12" s="8" t="inlineStr">
        <is>
          <t>Marketing</t>
        </is>
      </c>
      <c r="B12" s="9" t="inlineStr">
        <is>
          <t>% acima score</t>
        </is>
      </c>
      <c r="C12" s="10">
        <f>IFERROR(LOOKUP(2,1/(Semanal!$E$6:$E$21&lt;&gt;""),Semanal!H$6:H$21),"")</f>
        <v/>
      </c>
      <c r="D12" s="10">
        <f>Metas!E9</f>
        <v/>
      </c>
      <c r="E12" s="11">
        <f>IF(OR(C12="",D12=""),"",C12-D12)</f>
        <v/>
      </c>
      <c r="F12" s="12">
        <f>IF(C12="","",IF(C12&gt;=D12,"No alvo","Abaixo da meta"))</f>
        <v/>
      </c>
      <c r="G12" s="13" t="inlineStr">
        <is>
          <t>↑ melhor</t>
        </is>
      </c>
    </row>
    <row r="13">
      <c r="A13" s="18" t="inlineStr">
        <is>
          <t>Vendas</t>
        </is>
      </c>
      <c r="B13" s="9" t="inlineStr">
        <is>
          <t>SQL → Cliente</t>
        </is>
      </c>
      <c r="C13" s="10">
        <f>IFERROR(LOOKUP(2,1/(Semanal!$E$6:$E$21&lt;&gt;""),Semanal!S$6:S$21),"")</f>
        <v/>
      </c>
      <c r="D13" s="10">
        <f>Metas!E10</f>
        <v/>
      </c>
      <c r="E13" s="11">
        <f>IF(OR(C13="",D13=""),"",C13-D13)</f>
        <v/>
      </c>
      <c r="F13" s="12">
        <f>IF(C13="","",IF(C13&gt;=D13,"No alvo","Abaixo da meta"))</f>
        <v/>
      </c>
      <c r="G13" s="13" t="inlineStr">
        <is>
          <t>↑ melhor</t>
        </is>
      </c>
    </row>
    <row r="14">
      <c r="A14" s="18" t="inlineStr">
        <is>
          <t>Vendas</t>
        </is>
      </c>
      <c r="B14" s="9" t="inlineStr">
        <is>
          <t>Ciclo médio (dias)</t>
        </is>
      </c>
      <c r="C14" s="14">
        <f>IFERROR(LOOKUP(2,1/(Semanal!$E$6:$E$21&lt;&gt;""),Semanal!M$6:M$21),"")</f>
        <v/>
      </c>
      <c r="D14" s="14">
        <f>Metas!E11</f>
        <v/>
      </c>
      <c r="E14" s="15">
        <f>IF(OR(C14="",D14=""),"",D14-C14)</f>
        <v/>
      </c>
      <c r="F14" s="12">
        <f>IF(C14="","",IF(C14&lt;=D14,"No alvo","Acima da meta"))</f>
        <v/>
      </c>
      <c r="G14" s="13" t="inlineStr">
        <is>
          <t>↓ melhor</t>
        </is>
      </c>
    </row>
    <row r="15">
      <c r="A15" s="18" t="inlineStr">
        <is>
          <t>Vendas</t>
        </is>
      </c>
      <c r="B15" s="9" t="inlineStr">
        <is>
          <t>Ticket médio 1º</t>
        </is>
      </c>
      <c r="C15" s="16">
        <f>IFERROR(LOOKUP(2,1/(Semanal!$E$6:$E$21&lt;&gt;""),Semanal!N$6:N$21),"")</f>
        <v/>
      </c>
      <c r="D15" s="16">
        <f>Metas!E12</f>
        <v/>
      </c>
      <c r="E15" s="17">
        <f>IF(OR(C15="",D15=""),"",C15-D15)</f>
        <v/>
      </c>
      <c r="F15" s="12">
        <f>IF(C15="","",IF(C15&gt;=D15,"No alvo","Abaixo da meta"))</f>
        <v/>
      </c>
      <c r="G15" s="13" t="inlineStr">
        <is>
          <t>↑ melhor</t>
        </is>
      </c>
    </row>
    <row r="16">
      <c r="A16" s="18" t="inlineStr">
        <is>
          <t>Vendas</t>
        </is>
      </c>
      <c r="B16" s="9" t="inlineStr">
        <is>
          <t>Win rate</t>
        </is>
      </c>
      <c r="C16" s="10">
        <f>IFERROR(LOOKUP(2,1/(Semanal!$E$6:$E$21&lt;&gt;""),Semanal!T$6:T$21),"")</f>
        <v/>
      </c>
      <c r="D16" s="10">
        <f>Metas!E13</f>
        <v/>
      </c>
      <c r="E16" s="11">
        <f>IF(OR(C16="",D16=""),"",C16-D16)</f>
        <v/>
      </c>
      <c r="F16" s="12">
        <f>IF(C16="","",IF(C16&gt;=D16,"No alvo","Abaixo da meta"))</f>
        <v/>
      </c>
      <c r="G16" s="13" t="inlineStr">
        <is>
          <t>↑ melhor</t>
        </is>
      </c>
    </row>
    <row r="17">
      <c r="A17" s="18" t="inlineStr">
        <is>
          <t>Vendas</t>
        </is>
      </c>
      <c r="B17" s="9" t="inlineStr">
        <is>
          <t>Visitas/deal</t>
        </is>
      </c>
      <c r="C17" s="14">
        <f>IFERROR(LOOKUP(2,1/(Semanal!$E$6:$E$21&lt;&gt;""),Semanal!U$6:U$21),"")</f>
        <v/>
      </c>
      <c r="D17" s="14">
        <f>Metas!E14</f>
        <v/>
      </c>
      <c r="E17" s="15">
        <f>IF(OR(C17="",D17=""),"",D17-C17)</f>
        <v/>
      </c>
      <c r="F17" s="12">
        <f>IF(C17="","",IF(C17&lt;=D17,"No alvo","Acima da meta"))</f>
        <v/>
      </c>
      <c r="G17" s="13" t="inlineStr">
        <is>
          <t>↓ melhor</t>
        </is>
      </c>
    </row>
    <row r="18">
      <c r="A18" s="18" t="inlineStr">
        <is>
          <t>Vendas</t>
        </is>
      </c>
      <c r="B18" s="9" t="inlineStr">
        <is>
          <t>Cobertura pipeline</t>
        </is>
      </c>
      <c r="C18" s="19">
        <f>IFERROR(LOOKUP(2,1/(Semanal!$E$6:$E$21&lt;&gt;""),Semanal!V$6:V$21),"")</f>
        <v/>
      </c>
      <c r="D18" s="19">
        <f>Metas!E15</f>
        <v/>
      </c>
      <c r="E18" s="15">
        <f>IF(OR(C18="",D18=""),"",C18-D18)</f>
        <v/>
      </c>
      <c r="F18" s="12">
        <f>IF(C18="","",IF(C18&gt;=D18,"No alvo","Abaixo da meta"))</f>
        <v/>
      </c>
      <c r="G18" s="13" t="inlineStr">
        <is>
          <t>↑ melhor</t>
        </is>
      </c>
    </row>
    <row r="19">
      <c r="A19" s="20" t="inlineStr">
        <is>
          <t>Ponte</t>
        </is>
      </c>
      <c r="B19" s="9" t="inlineStr">
        <is>
          <t>Aceite de SQL</t>
        </is>
      </c>
      <c r="C19" s="10">
        <f>IFERROR(LOOKUP(2,1/(Semanal!$E$6:$E$21&lt;&gt;""),Semanal!AB$6:AB$21),"")</f>
        <v/>
      </c>
      <c r="D19" s="10">
        <f>Metas!E16</f>
        <v/>
      </c>
      <c r="E19" s="11">
        <f>IF(OR(C19="",D19=""),"",C19-D19)</f>
        <v/>
      </c>
      <c r="F19" s="12">
        <f>IF(C19="","",IF(C19&gt;=D19,"No alvo","Abaixo da meta"))</f>
        <v/>
      </c>
      <c r="G19" s="13" t="inlineStr">
        <is>
          <t>↑ melhor</t>
        </is>
      </c>
    </row>
    <row r="20">
      <c r="A20" s="20" t="inlineStr">
        <is>
          <t>Ponte</t>
        </is>
      </c>
      <c r="B20" s="9" t="inlineStr">
        <is>
          <t>SLA 1º contato (h)</t>
        </is>
      </c>
      <c r="C20" s="14">
        <f>IFERROR(LOOKUP(2,1/(Semanal!$E$6:$E$21&lt;&gt;""),Semanal!Y$6:Y$21),"")</f>
        <v/>
      </c>
      <c r="D20" s="14">
        <f>Metas!E17</f>
        <v/>
      </c>
      <c r="E20" s="15">
        <f>IF(OR(C20="",D20=""),"",D20-C20)</f>
        <v/>
      </c>
      <c r="F20" s="12">
        <f>IF(C20="","",IF(C20&lt;=D20,"No alvo","Acima da meta"))</f>
        <v/>
      </c>
      <c r="G20" s="13" t="inlineStr">
        <is>
          <t>↓ melhor</t>
        </is>
      </c>
    </row>
    <row r="21">
      <c r="A21" s="20" t="inlineStr">
        <is>
          <t>Ponte</t>
        </is>
      </c>
      <c r="B21" s="9" t="inlineStr">
        <is>
          <t>% c/ motivo perda</t>
        </is>
      </c>
      <c r="C21" s="10">
        <f>IFERROR(LOOKUP(2,1/(Semanal!$E$6:$E$21&lt;&gt;""),Semanal!AC$6:AC$21),"")</f>
        <v/>
      </c>
      <c r="D21" s="10">
        <f>Metas!E18</f>
        <v/>
      </c>
      <c r="E21" s="11">
        <f>IF(OR(C21="",D21=""),"",C21-D21)</f>
        <v/>
      </c>
      <c r="F21" s="12">
        <f>IF(C21="","",IF(C21&gt;=D21,"No alvo","Abaixo da meta"))</f>
        <v/>
      </c>
      <c r="G21" s="13" t="inlineStr">
        <is>
          <t>↑ melhor</t>
        </is>
      </c>
    </row>
    <row r="24">
      <c r="A24" s="21" t="inlineStr">
        <is>
          <t>North Stars — foco do ritual</t>
        </is>
      </c>
    </row>
    <row r="25">
      <c r="A25" s="4" t="inlineStr">
        <is>
          <t>Marketing</t>
        </is>
      </c>
      <c r="B25" s="22" t="inlineStr">
        <is>
          <t>MQL → SQL</t>
        </is>
      </c>
      <c r="C25" s="23">
        <f>C8</f>
        <v/>
      </c>
      <c r="D25" s="2">
        <f>"Meta: "&amp;TEXT(D8,"0%")</f>
        <v/>
      </c>
    </row>
    <row r="26">
      <c r="A26" s="4" t="inlineStr">
        <is>
          <t>Vendas</t>
        </is>
      </c>
      <c r="B26" s="22" t="inlineStr">
        <is>
          <t>SQL → Cliente</t>
        </is>
      </c>
      <c r="C26" s="23">
        <f>C13</f>
        <v/>
      </c>
      <c r="D26" s="2">
        <f>"Meta: "&amp;TEXT(D13,"0%")</f>
        <v/>
      </c>
    </row>
    <row r="27">
      <c r="A27" s="4" t="inlineStr">
        <is>
          <t>Ponte</t>
        </is>
      </c>
      <c r="B27" s="22" t="inlineStr">
        <is>
          <t>Aceite de SQL</t>
        </is>
      </c>
      <c r="C27" s="23">
        <f>C19</f>
        <v/>
      </c>
      <c r="D27" s="2">
        <f>"Meta: "&amp;TEXT(D19,"0%")</f>
        <v/>
      </c>
    </row>
    <row r="28">
      <c r="A28" t="inlineStr"/>
    </row>
    <row r="30">
      <c r="A30" s="3" t="inlineStr">
        <is>
          <t>Checklist do ritual semanal (30 min)</t>
        </is>
      </c>
    </row>
    <row r="31">
      <c r="A31" s="5" t="inlineStr">
        <is>
          <t>1. Olhar Aceite de SQL — subiu ou caiu? Por quê?</t>
        </is>
      </c>
    </row>
    <row r="32">
      <c r="A32" s="5" t="inlineStr">
        <is>
          <t>2. Olhar SLA de contato — quem ficou parado &gt; 24h?</t>
        </is>
      </c>
    </row>
    <row r="33">
      <c r="A33" s="5" t="inlineStr">
        <is>
          <t>3. Olhar motivos de perda — o que muda na nutrição / ICP?</t>
        </is>
      </c>
    </row>
    <row r="34">
      <c r="A34" s="5" t="inlineStr">
        <is>
          <t>4. Registrar decisão e dono na coluna Observações (aba Semanal)</t>
        </is>
      </c>
    </row>
    <row r="37">
      <c r="A37" s="22" t="inlineStr">
        <is>
          <t>Série — North Stars (preenchido via Semanal)</t>
        </is>
      </c>
    </row>
    <row r="38">
      <c r="A38" s="24" t="inlineStr">
        <is>
          <t>Início</t>
        </is>
      </c>
      <c r="B38" s="24" t="inlineStr">
        <is>
          <t>MQL→SQL</t>
        </is>
      </c>
      <c r="C38" s="24" t="inlineStr">
        <is>
          <t>SQL→Cliente</t>
        </is>
      </c>
      <c r="D38" s="24" t="inlineStr">
        <is>
          <t>Aceite SQL</t>
        </is>
      </c>
    </row>
    <row r="39">
      <c r="A39" s="25">
        <f>Semanal!B14</f>
        <v/>
      </c>
      <c r="B39" s="26">
        <f>Semanal!I14</f>
        <v/>
      </c>
      <c r="C39" s="26">
        <f>Semanal!S14</f>
        <v/>
      </c>
      <c r="D39" s="26">
        <f>Semanal!AB14</f>
        <v/>
      </c>
    </row>
    <row r="40">
      <c r="A40" s="25">
        <f>Semanal!B15</f>
        <v/>
      </c>
      <c r="B40" s="26">
        <f>Semanal!I15</f>
        <v/>
      </c>
      <c r="C40" s="26">
        <f>Semanal!S15</f>
        <v/>
      </c>
      <c r="D40" s="26">
        <f>Semanal!AB15</f>
        <v/>
      </c>
    </row>
    <row r="41">
      <c r="A41" s="25">
        <f>Semanal!B16</f>
        <v/>
      </c>
      <c r="B41" s="26">
        <f>Semanal!I16</f>
        <v/>
      </c>
      <c r="C41" s="26">
        <f>Semanal!S16</f>
        <v/>
      </c>
      <c r="D41" s="26">
        <f>Semanal!AB16</f>
        <v/>
      </c>
    </row>
    <row r="42">
      <c r="A42" s="25">
        <f>Semanal!B17</f>
        <v/>
      </c>
      <c r="B42" s="26">
        <f>Semanal!I17</f>
        <v/>
      </c>
      <c r="C42" s="26">
        <f>Semanal!S17</f>
        <v/>
      </c>
      <c r="D42" s="26">
        <f>Semanal!AB17</f>
        <v/>
      </c>
    </row>
    <row r="43">
      <c r="A43" s="25">
        <f>Semanal!B18</f>
        <v/>
      </c>
      <c r="B43" s="26">
        <f>Semanal!I18</f>
        <v/>
      </c>
      <c r="C43" s="26">
        <f>Semanal!S18</f>
        <v/>
      </c>
      <c r="D43" s="26">
        <f>Semanal!AB18</f>
        <v/>
      </c>
    </row>
    <row r="44">
      <c r="A44" s="25">
        <f>Semanal!B19</f>
        <v/>
      </c>
      <c r="B44" s="26">
        <f>Semanal!I19</f>
        <v/>
      </c>
      <c r="C44" s="26">
        <f>Semanal!S19</f>
        <v/>
      </c>
      <c r="D44" s="26">
        <f>Semanal!AB19</f>
        <v/>
      </c>
    </row>
    <row r="45">
      <c r="A45" s="25">
        <f>Semanal!B20</f>
        <v/>
      </c>
      <c r="B45" s="26">
        <f>Semanal!I20</f>
        <v/>
      </c>
      <c r="C45" s="26">
        <f>Semanal!S20</f>
        <v/>
      </c>
      <c r="D45" s="26">
        <f>Semanal!AB20</f>
        <v/>
      </c>
    </row>
    <row r="46">
      <c r="A46" s="25">
        <f>Semanal!B21</f>
        <v/>
      </c>
      <c r="B46" s="26">
        <f>Semanal!I21</f>
        <v/>
      </c>
      <c r="C46" s="26">
        <f>Semanal!S21</f>
        <v/>
      </c>
      <c r="D46" s="26">
        <f>Semanal!AB21</f>
        <v/>
      </c>
    </row>
  </sheetData>
  <mergeCells count="9">
    <mergeCell ref="A37:D37"/>
    <mergeCell ref="A31:D31"/>
    <mergeCell ref="A1:G1"/>
    <mergeCell ref="A34:D34"/>
    <mergeCell ref="A30:D30"/>
    <mergeCell ref="A4:G4"/>
    <mergeCell ref="A24:D24"/>
    <mergeCell ref="A33:D33"/>
    <mergeCell ref="A32:D32"/>
  </mergeCells>
  <conditionalFormatting sqref="F8:F21">
    <cfRule type="expression" priority="1" dxfId="0">
      <formula>$F8="No alvo"</formula>
    </cfRule>
    <cfRule type="expression" priority="2" dxfId="1">
      <formula>OR($F8="Abaixo da meta",$F8="Acima da meta")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0" customWidth="1" min="4" max="4"/>
    <col width="12" customWidth="1" min="5" max="5"/>
    <col width="48" customWidth="1" min="6" max="6"/>
  </cols>
  <sheetData>
    <row r="1">
      <c r="A1" s="1" t="inlineStr">
        <is>
          <t>Metas dos KPIs</t>
        </is>
      </c>
    </row>
    <row r="2">
      <c r="A2" s="2" t="inlineStr">
        <is>
          <t>Edite apenas as células amarelas. As metas alimentam o Dashboard.</t>
        </is>
      </c>
    </row>
    <row r="4">
      <c r="A4" s="7" t="inlineStr">
        <is>
          <t>Área</t>
        </is>
      </c>
      <c r="B4" s="7" t="inlineStr">
        <is>
          <t>KPI</t>
        </is>
      </c>
      <c r="C4" s="7" t="inlineStr">
        <is>
          <t>Código</t>
        </is>
      </c>
      <c r="D4" s="7" t="inlineStr">
        <is>
          <t>Unidade</t>
        </is>
      </c>
      <c r="E4" s="7" t="inlineStr">
        <is>
          <t>Meta</t>
        </is>
      </c>
      <c r="F4" s="7" t="inlineStr">
        <is>
          <t>Notas</t>
        </is>
      </c>
    </row>
    <row r="5">
      <c r="A5" s="8" t="inlineStr">
        <is>
          <t>Marketing</t>
        </is>
      </c>
      <c r="B5" s="27" t="inlineStr">
        <is>
          <t>MQL → SQL</t>
        </is>
      </c>
      <c r="C5" s="28" t="inlineStr">
        <is>
          <t>MKT_MQL_SQL</t>
        </is>
      </c>
      <c r="D5" s="12" t="inlineStr">
        <is>
          <t>%</t>
        </is>
      </c>
      <c r="E5" s="29" t="n">
        <v>0.4</v>
      </c>
      <c r="F5" s="30" t="inlineStr">
        <is>
          <t>North Star Marketing</t>
        </is>
      </c>
    </row>
    <row r="6">
      <c r="A6" s="8" t="inlineStr">
        <is>
          <t>Marketing</t>
        </is>
      </c>
      <c r="B6" s="27" t="inlineStr">
        <is>
          <t>SQLs gerados / semana</t>
        </is>
      </c>
      <c r="C6" s="28" t="inlineStr">
        <is>
          <t>MKT_SQL_SEM</t>
        </is>
      </c>
      <c r="D6" s="12" t="inlineStr">
        <is>
          <t>unid</t>
        </is>
      </c>
      <c r="E6" s="31" t="n">
        <v>8</v>
      </c>
      <c r="F6" s="30" t="inlineStr">
        <is>
          <t>Ajuste à capacidade do time</t>
        </is>
      </c>
    </row>
    <row r="7">
      <c r="A7" s="8" t="inlineStr">
        <is>
          <t>Marketing</t>
        </is>
      </c>
      <c r="B7" s="27" t="inlineStr">
        <is>
          <t>Custo por SQL (CPSQL)</t>
        </is>
      </c>
      <c r="C7" s="28" t="inlineStr">
        <is>
          <t>MKT_CPSQL</t>
        </is>
      </c>
      <c r="D7" s="12" t="inlineStr">
        <is>
          <t>R$</t>
        </is>
      </c>
      <c r="E7" s="32" t="n">
        <v>350</v>
      </c>
      <c r="F7" s="30" t="inlineStr">
        <is>
          <t>Meta máxima (quanto menor, melhor)</t>
        </is>
      </c>
    </row>
    <row r="8">
      <c r="A8" s="8" t="inlineStr">
        <is>
          <t>Marketing</t>
        </is>
      </c>
      <c r="B8" s="27" t="inlineStr">
        <is>
          <t>Engajamento da sequência</t>
        </is>
      </c>
      <c r="C8" s="28" t="inlineStr">
        <is>
          <t>MKT_ENG</t>
        </is>
      </c>
      <c r="D8" s="12" t="inlineStr">
        <is>
          <t>%</t>
        </is>
      </c>
      <c r="E8" s="29" t="n">
        <v>0.25</v>
      </c>
      <c r="F8" s="30" t="inlineStr">
        <is>
          <t>Abriu+clicou ou respondeu</t>
        </is>
      </c>
    </row>
    <row r="9">
      <c r="A9" s="8" t="inlineStr">
        <is>
          <t>Marketing</t>
        </is>
      </c>
      <c r="B9" s="27" t="inlineStr">
        <is>
          <t>% leads acima do score</t>
        </is>
      </c>
      <c r="C9" s="28" t="inlineStr">
        <is>
          <t>MKT_SCORE</t>
        </is>
      </c>
      <c r="D9" s="12" t="inlineStr">
        <is>
          <t>%</t>
        </is>
      </c>
      <c r="E9" s="29" t="n">
        <v>0.35</v>
      </c>
      <c r="F9" s="30" t="inlineStr">
        <is>
          <t>Limiar de intenção definido no CRM</t>
        </is>
      </c>
    </row>
    <row r="10">
      <c r="A10" s="18" t="inlineStr">
        <is>
          <t>Vendas</t>
        </is>
      </c>
      <c r="B10" s="27" t="inlineStr">
        <is>
          <t>SQL → Cliente</t>
        </is>
      </c>
      <c r="C10" s="28" t="inlineStr">
        <is>
          <t>VND_SQL_CLI</t>
        </is>
      </c>
      <c r="D10" s="12" t="inlineStr">
        <is>
          <t>%</t>
        </is>
      </c>
      <c r="E10" s="29" t="n">
        <v>0.3</v>
      </c>
      <c r="F10" s="30" t="inlineStr">
        <is>
          <t>North Star Vendas</t>
        </is>
      </c>
    </row>
    <row r="11">
      <c r="A11" s="18" t="inlineStr">
        <is>
          <t>Vendas</t>
        </is>
      </c>
      <c r="B11" s="27" t="inlineStr">
        <is>
          <t>Ciclo médio de vendas</t>
        </is>
      </c>
      <c r="C11" s="28" t="inlineStr">
        <is>
          <t>VND_CICLO</t>
        </is>
      </c>
      <c r="D11" s="12" t="inlineStr">
        <is>
          <t>dias</t>
        </is>
      </c>
      <c r="E11" s="31" t="n">
        <v>45</v>
      </c>
      <c r="F11" s="30" t="inlineStr">
        <is>
          <t>Meta máxima (quanto menor, melhor)</t>
        </is>
      </c>
    </row>
    <row r="12">
      <c r="A12" s="18" t="inlineStr">
        <is>
          <t>Vendas</t>
        </is>
      </c>
      <c r="B12" s="27" t="inlineStr">
        <is>
          <t>Ticket médio 1º pedido</t>
        </is>
      </c>
      <c r="C12" s="28" t="inlineStr">
        <is>
          <t>VND_TICKET</t>
        </is>
      </c>
      <c r="D12" s="12" t="inlineStr">
        <is>
          <t>R$</t>
        </is>
      </c>
      <c r="E12" s="32" t="n">
        <v>15000</v>
      </c>
      <c r="F12" s="30" t="inlineStr">
        <is>
          <t>Ajuste ao portfólio</t>
        </is>
      </c>
    </row>
    <row r="13">
      <c r="A13" s="18" t="inlineStr">
        <is>
          <t>Vendas</t>
        </is>
      </c>
      <c r="B13" s="27" t="inlineStr">
        <is>
          <t>Win rate de propostas</t>
        </is>
      </c>
      <c r="C13" s="28" t="inlineStr">
        <is>
          <t>VND_WIN</t>
        </is>
      </c>
      <c r="D13" s="12" t="inlineStr">
        <is>
          <t>%</t>
        </is>
      </c>
      <c r="E13" s="29" t="n">
        <v>0.45</v>
      </c>
      <c r="F13" s="30" t="inlineStr"/>
    </row>
    <row r="14">
      <c r="A14" s="18" t="inlineStr">
        <is>
          <t>Vendas</t>
        </is>
      </c>
      <c r="B14" s="27" t="inlineStr">
        <is>
          <t>Visitas por deal fechado</t>
        </is>
      </c>
      <c r="C14" s="28" t="inlineStr">
        <is>
          <t>VND_VISITAS</t>
        </is>
      </c>
      <c r="D14" s="12" t="inlineStr">
        <is>
          <t>unid</t>
        </is>
      </c>
      <c r="E14" s="31" t="n">
        <v>2</v>
      </c>
      <c r="F14" s="30" t="inlineStr">
        <is>
          <t>Meta máxima</t>
        </is>
      </c>
    </row>
    <row r="15">
      <c r="A15" s="18" t="inlineStr">
        <is>
          <t>Vendas</t>
        </is>
      </c>
      <c r="B15" s="27" t="inlineStr">
        <is>
          <t>Cobertura de pipeline</t>
        </is>
      </c>
      <c r="C15" s="28" t="inlineStr">
        <is>
          <t>VND_PIPE</t>
        </is>
      </c>
      <c r="D15" s="12" t="inlineStr">
        <is>
          <t>x</t>
        </is>
      </c>
      <c r="E15" s="33" t="n">
        <v>3</v>
      </c>
      <c r="F15" s="30" t="inlineStr">
        <is>
          <t>Pipeline ÷ meta do período</t>
        </is>
      </c>
    </row>
    <row r="16">
      <c r="A16" s="20" t="inlineStr">
        <is>
          <t>Ponte</t>
        </is>
      </c>
      <c r="B16" s="27" t="inlineStr">
        <is>
          <t>Taxa de aceite de SQL</t>
        </is>
      </c>
      <c r="C16" s="28" t="inlineStr">
        <is>
          <t>PNT_ACEITE</t>
        </is>
      </c>
      <c r="D16" s="12" t="inlineStr">
        <is>
          <t>%</t>
        </is>
      </c>
      <c r="E16" s="29" t="n">
        <v>0.8</v>
      </c>
      <c r="F16" s="30" t="inlineStr">
        <is>
          <t>North Star da ponte</t>
        </is>
      </c>
    </row>
    <row r="17">
      <c r="A17" s="20" t="inlineStr">
        <is>
          <t>Ponte</t>
        </is>
      </c>
      <c r="B17" s="27" t="inlineStr">
        <is>
          <t>Tempo até 1º contato</t>
        </is>
      </c>
      <c r="C17" s="28" t="inlineStr">
        <is>
          <t>PNT_SLA</t>
        </is>
      </c>
      <c r="D17" s="12" t="inlineStr">
        <is>
          <t>horas</t>
        </is>
      </c>
      <c r="E17" s="31" t="n">
        <v>24</v>
      </c>
      <c r="F17" s="30" t="inlineStr">
        <is>
          <t>Meta máxima (SLA)</t>
        </is>
      </c>
    </row>
    <row r="18">
      <c r="A18" s="20" t="inlineStr">
        <is>
          <t>Ponte</t>
        </is>
      </c>
      <c r="B18" s="27" t="inlineStr">
        <is>
          <t>SQLs com motivo de perda</t>
        </is>
      </c>
      <c r="C18" s="28" t="inlineStr">
        <is>
          <t>PNT_MOTIVO</t>
        </is>
      </c>
      <c r="D18" s="12" t="inlineStr">
        <is>
          <t>%</t>
        </is>
      </c>
      <c r="E18" s="29" t="n">
        <v>1</v>
      </c>
      <c r="F18" s="30" t="inlineStr">
        <is>
          <t>100% dos perdidos com motivo no CRM</t>
        </is>
      </c>
    </row>
    <row r="20">
      <c r="A20" s="4" t="inlineStr">
        <is>
          <t>Meta do faturamento (semana) — usada na cobertura de pipeline</t>
        </is>
      </c>
      <c r="E20" s="34" t="n">
        <v>80000</v>
      </c>
      <c r="F20" s="2" t="inlineStr">
        <is>
          <t>Meta semanal de receita (novo + recorrente ou só 1º pedido — alinhe com o time)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8" customWidth="1" min="4" max="4"/>
    <col width="11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9" customWidth="1" min="17" max="17"/>
    <col width="12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1" customWidth="1" min="26" max="26"/>
    <col width="12" customWidth="1" min="27" max="27"/>
    <col width="11" customWidth="1" min="28" max="28"/>
    <col width="12" customWidth="1" min="29" max="29"/>
    <col width="42" customWidth="1" min="30" max="30"/>
    <col width="14" customWidth="1" min="31" max="31"/>
  </cols>
  <sheetData>
    <row r="1">
      <c r="A1" s="1" t="inlineStr">
        <is>
          <t>Registro Semanal de KPIs</t>
        </is>
      </c>
    </row>
    <row r="2">
      <c r="A2" s="2" t="inlineStr">
        <is>
          <t>Preencha inputs em azul. Fórmulas em preto calculam automaticamente. Uma linha = uma semana.</t>
        </is>
      </c>
    </row>
    <row r="4" ht="22" customHeight="1">
      <c r="A4" s="7" t="inlineStr">
        <is>
          <t>Período</t>
        </is>
      </c>
      <c r="B4" s="24" t="n"/>
      <c r="C4" s="24" t="n"/>
      <c r="D4" s="35" t="inlineStr">
        <is>
          <t>MARKETING</t>
        </is>
      </c>
      <c r="E4" s="36" t="n"/>
      <c r="F4" s="36" t="n"/>
      <c r="G4" s="36" t="n"/>
      <c r="H4" s="36" t="n"/>
      <c r="I4" s="36" t="n"/>
      <c r="J4" s="36" t="n"/>
      <c r="K4" s="37" t="inlineStr">
        <is>
          <t>VENDAS</t>
        </is>
      </c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9" t="inlineStr">
        <is>
          <t>PONTE Mkt → Vendas</t>
        </is>
      </c>
      <c r="X4" s="40" t="n"/>
      <c r="Y4" s="40" t="n"/>
      <c r="Z4" s="40" t="n"/>
      <c r="AA4" s="40" t="n"/>
      <c r="AB4" s="40" t="n"/>
      <c r="AC4" s="40" t="n"/>
      <c r="AD4" s="7" t="inlineStr">
        <is>
          <t>Ritual</t>
        </is>
      </c>
      <c r="AE4" s="24" t="n"/>
    </row>
    <row r="5" ht="36" customHeight="1">
      <c r="A5" s="41" t="inlineStr">
        <is>
          <t>Semana</t>
        </is>
      </c>
      <c r="B5" s="41" t="inlineStr">
        <is>
          <t>Início</t>
        </is>
      </c>
      <c r="C5" s="41" t="inlineStr">
        <is>
          <t>Fim</t>
        </is>
      </c>
      <c r="D5" s="41" t="inlineStr">
        <is>
          <t>MQLs</t>
        </is>
      </c>
      <c r="E5" s="41" t="inlineStr">
        <is>
          <t>SQLs gerados</t>
        </is>
      </c>
      <c r="F5" s="41" t="inlineStr">
        <is>
          <t>Investimento (R$)</t>
        </is>
      </c>
      <c r="G5" s="41" t="inlineStr">
        <is>
          <t>Engajamento %</t>
        </is>
      </c>
      <c r="H5" s="41" t="inlineStr">
        <is>
          <t>% acima score</t>
        </is>
      </c>
      <c r="I5" s="41" t="inlineStr">
        <is>
          <t>MQL→SQL %</t>
        </is>
      </c>
      <c r="J5" s="41" t="inlineStr">
        <is>
          <t>CPSQL (R$)</t>
        </is>
      </c>
      <c r="K5" s="41" t="inlineStr">
        <is>
          <t>SQLs trabalhados</t>
        </is>
      </c>
      <c r="L5" s="41" t="inlineStr">
        <is>
          <t>Clientes novos</t>
        </is>
      </c>
      <c r="M5" s="41" t="inlineStr">
        <is>
          <t>Ciclo médio (dias)</t>
        </is>
      </c>
      <c r="N5" s="41" t="inlineStr">
        <is>
          <t>Ticket médio 1º (R$)</t>
        </is>
      </c>
      <c r="O5" s="41" t="inlineStr">
        <is>
          <t>Propostas enviadas</t>
        </is>
      </c>
      <c r="P5" s="41" t="inlineStr">
        <is>
          <t>Propostas ganhas</t>
        </is>
      </c>
      <c r="Q5" s="41" t="inlineStr">
        <is>
          <t>Visitas</t>
        </is>
      </c>
      <c r="R5" s="41" t="inlineStr">
        <is>
          <t>Pipeline (R$)</t>
        </is>
      </c>
      <c r="S5" s="41" t="inlineStr">
        <is>
          <t>SQL→Cliente %</t>
        </is>
      </c>
      <c r="T5" s="41" t="inlineStr">
        <is>
          <t>Win rate %</t>
        </is>
      </c>
      <c r="U5" s="41" t="inlineStr">
        <is>
          <t>Visitas/deal</t>
        </is>
      </c>
      <c r="V5" s="41" t="inlineStr">
        <is>
          <t>Cobertura (x)</t>
        </is>
      </c>
      <c r="W5" s="41" t="inlineStr">
        <is>
          <t>SQLs enviados</t>
        </is>
      </c>
      <c r="X5" s="41" t="inlineStr">
        <is>
          <t>SQLs aceitos</t>
        </is>
      </c>
      <c r="Y5" s="41" t="inlineStr">
        <is>
          <t>SLA 1º contato (h)</t>
        </is>
      </c>
      <c r="Z5" s="41" t="inlineStr">
        <is>
          <t>SQLs perdidos</t>
        </is>
      </c>
      <c r="AA5" s="41" t="inlineStr">
        <is>
          <t>Perdidos c/ motivo</t>
        </is>
      </c>
      <c r="AB5" s="41" t="inlineStr">
        <is>
          <t>Aceite SQL %</t>
        </is>
      </c>
      <c r="AC5" s="41" t="inlineStr">
        <is>
          <t>% c/ motivo perda</t>
        </is>
      </c>
      <c r="AD5" s="41" t="inlineStr">
        <is>
          <t>Observações do ritual</t>
        </is>
      </c>
      <c r="AE5" s="41" t="inlineStr">
        <is>
          <t>Responsável</t>
        </is>
      </c>
    </row>
    <row r="6">
      <c r="A6" s="12" t="n">
        <v>1</v>
      </c>
      <c r="B6" s="42" t="n">
        <v>46111</v>
      </c>
      <c r="C6" s="43">
        <f>B6+6</f>
        <v/>
      </c>
      <c r="D6" s="44" t="n"/>
      <c r="E6" s="44" t="n"/>
      <c r="F6" s="45" t="n"/>
      <c r="G6" s="46" t="n"/>
      <c r="H6" s="46" t="n"/>
      <c r="I6" s="47">
        <f>IF(D6=0,"",E6/D6)</f>
        <v/>
      </c>
      <c r="J6" s="48">
        <f>IF(E6=0,"",F6/E6)</f>
        <v/>
      </c>
      <c r="K6" s="44" t="n"/>
      <c r="L6" s="44" t="n"/>
      <c r="M6" s="49" t="n"/>
      <c r="N6" s="45" t="n"/>
      <c r="O6" s="44" t="n"/>
      <c r="P6" s="44" t="n"/>
      <c r="Q6" s="44" t="n"/>
      <c r="R6" s="45" t="n"/>
      <c r="S6" s="47">
        <f>IF(K6=0,"",L6/K6)</f>
        <v/>
      </c>
      <c r="T6" s="47">
        <f>IF(O6=0,"",P6/O6)</f>
        <v/>
      </c>
      <c r="U6" s="50">
        <f>IF(L6=0,"",Q6/L6)</f>
        <v/>
      </c>
      <c r="V6" s="19">
        <f>IF(OR(R6="",Metas!$E$20=0),"",R6/Metas!$E$20)</f>
        <v/>
      </c>
      <c r="W6" s="44" t="n"/>
      <c r="X6" s="44" t="n"/>
      <c r="Y6" s="49" t="n"/>
      <c r="Z6" s="44" t="n"/>
      <c r="AA6" s="44" t="n"/>
      <c r="AB6" s="47">
        <f>IF(W6=0,"",X6/W6)</f>
        <v/>
      </c>
      <c r="AC6" s="47">
        <f>IF(Z6=0,"",AA6/Z6)</f>
        <v/>
      </c>
      <c r="AD6" s="51" t="n"/>
      <c r="AE6" s="52" t="n"/>
    </row>
    <row r="7">
      <c r="A7" s="12" t="n">
        <v>2</v>
      </c>
      <c r="B7" s="42" t="n">
        <v>46118</v>
      </c>
      <c r="C7" s="43">
        <f>B7+6</f>
        <v/>
      </c>
      <c r="D7" s="44" t="n"/>
      <c r="E7" s="44" t="n"/>
      <c r="F7" s="45" t="n"/>
      <c r="G7" s="46" t="n"/>
      <c r="H7" s="46" t="n"/>
      <c r="I7" s="47">
        <f>IF(D7=0,"",E7/D7)</f>
        <v/>
      </c>
      <c r="J7" s="48">
        <f>IF(E7=0,"",F7/E7)</f>
        <v/>
      </c>
      <c r="K7" s="44" t="n"/>
      <c r="L7" s="44" t="n"/>
      <c r="M7" s="49" t="n"/>
      <c r="N7" s="45" t="n"/>
      <c r="O7" s="44" t="n"/>
      <c r="P7" s="44" t="n"/>
      <c r="Q7" s="44" t="n"/>
      <c r="R7" s="45" t="n"/>
      <c r="S7" s="47">
        <f>IF(K7=0,"",L7/K7)</f>
        <v/>
      </c>
      <c r="T7" s="47">
        <f>IF(O7=0,"",P7/O7)</f>
        <v/>
      </c>
      <c r="U7" s="50">
        <f>IF(L7=0,"",Q7/L7)</f>
        <v/>
      </c>
      <c r="V7" s="19">
        <f>IF(OR(R7="",Metas!$E$20=0),"",R7/Metas!$E$20)</f>
        <v/>
      </c>
      <c r="W7" s="44" t="n"/>
      <c r="X7" s="44" t="n"/>
      <c r="Y7" s="49" t="n"/>
      <c r="Z7" s="44" t="n"/>
      <c r="AA7" s="44" t="n"/>
      <c r="AB7" s="47">
        <f>IF(W7=0,"",X7/W7)</f>
        <v/>
      </c>
      <c r="AC7" s="47">
        <f>IF(Z7=0,"",AA7/Z7)</f>
        <v/>
      </c>
      <c r="AD7" s="51" t="n"/>
      <c r="AE7" s="52" t="n"/>
    </row>
    <row r="8">
      <c r="A8" s="12" t="n">
        <v>3</v>
      </c>
      <c r="B8" s="42" t="n">
        <v>46125</v>
      </c>
      <c r="C8" s="43">
        <f>B8+6</f>
        <v/>
      </c>
      <c r="D8" s="44" t="n"/>
      <c r="E8" s="44" t="n"/>
      <c r="F8" s="45" t="n"/>
      <c r="G8" s="46" t="n"/>
      <c r="H8" s="46" t="n"/>
      <c r="I8" s="47">
        <f>IF(D8=0,"",E8/D8)</f>
        <v/>
      </c>
      <c r="J8" s="48">
        <f>IF(E8=0,"",F8/E8)</f>
        <v/>
      </c>
      <c r="K8" s="44" t="n"/>
      <c r="L8" s="44" t="n"/>
      <c r="M8" s="49" t="n"/>
      <c r="N8" s="45" t="n"/>
      <c r="O8" s="44" t="n"/>
      <c r="P8" s="44" t="n"/>
      <c r="Q8" s="44" t="n"/>
      <c r="R8" s="45" t="n"/>
      <c r="S8" s="47">
        <f>IF(K8=0,"",L8/K8)</f>
        <v/>
      </c>
      <c r="T8" s="47">
        <f>IF(O8=0,"",P8/O8)</f>
        <v/>
      </c>
      <c r="U8" s="50">
        <f>IF(L8=0,"",Q8/L8)</f>
        <v/>
      </c>
      <c r="V8" s="19">
        <f>IF(OR(R8="",Metas!$E$20=0),"",R8/Metas!$E$20)</f>
        <v/>
      </c>
      <c r="W8" s="44" t="n"/>
      <c r="X8" s="44" t="n"/>
      <c r="Y8" s="49" t="n"/>
      <c r="Z8" s="44" t="n"/>
      <c r="AA8" s="44" t="n"/>
      <c r="AB8" s="47">
        <f>IF(W8=0,"",X8/W8)</f>
        <v/>
      </c>
      <c r="AC8" s="47">
        <f>IF(Z8=0,"",AA8/Z8)</f>
        <v/>
      </c>
      <c r="AD8" s="51" t="n"/>
      <c r="AE8" s="52" t="n"/>
    </row>
    <row r="9">
      <c r="A9" s="12" t="n">
        <v>4</v>
      </c>
      <c r="B9" s="42" t="n">
        <v>46132</v>
      </c>
      <c r="C9" s="43">
        <f>B9+6</f>
        <v/>
      </c>
      <c r="D9" s="44" t="n"/>
      <c r="E9" s="44" t="n"/>
      <c r="F9" s="45" t="n"/>
      <c r="G9" s="46" t="n"/>
      <c r="H9" s="46" t="n"/>
      <c r="I9" s="47">
        <f>IF(D9=0,"",E9/D9)</f>
        <v/>
      </c>
      <c r="J9" s="48">
        <f>IF(E9=0,"",F9/E9)</f>
        <v/>
      </c>
      <c r="K9" s="44" t="n"/>
      <c r="L9" s="44" t="n"/>
      <c r="M9" s="49" t="n"/>
      <c r="N9" s="45" t="n"/>
      <c r="O9" s="44" t="n"/>
      <c r="P9" s="44" t="n"/>
      <c r="Q9" s="44" t="n"/>
      <c r="R9" s="45" t="n"/>
      <c r="S9" s="47">
        <f>IF(K9=0,"",L9/K9)</f>
        <v/>
      </c>
      <c r="T9" s="47">
        <f>IF(O9=0,"",P9/O9)</f>
        <v/>
      </c>
      <c r="U9" s="50">
        <f>IF(L9=0,"",Q9/L9)</f>
        <v/>
      </c>
      <c r="V9" s="19">
        <f>IF(OR(R9="",Metas!$E$20=0),"",R9/Metas!$E$20)</f>
        <v/>
      </c>
      <c r="W9" s="44" t="n"/>
      <c r="X9" s="44" t="n"/>
      <c r="Y9" s="49" t="n"/>
      <c r="Z9" s="44" t="n"/>
      <c r="AA9" s="44" t="n"/>
      <c r="AB9" s="47">
        <f>IF(W9=0,"",X9/W9)</f>
        <v/>
      </c>
      <c r="AC9" s="47">
        <f>IF(Z9=0,"",AA9/Z9)</f>
        <v/>
      </c>
      <c r="AD9" s="51" t="n"/>
      <c r="AE9" s="52" t="n"/>
    </row>
    <row r="10">
      <c r="A10" s="12" t="n">
        <v>5</v>
      </c>
      <c r="B10" s="42" t="n">
        <v>46139</v>
      </c>
      <c r="C10" s="43">
        <f>B10+6</f>
        <v/>
      </c>
      <c r="D10" s="44" t="n"/>
      <c r="E10" s="44" t="n"/>
      <c r="F10" s="45" t="n"/>
      <c r="G10" s="46" t="n"/>
      <c r="H10" s="46" t="n"/>
      <c r="I10" s="47">
        <f>IF(D10=0,"",E10/D10)</f>
        <v/>
      </c>
      <c r="J10" s="48">
        <f>IF(E10=0,"",F10/E10)</f>
        <v/>
      </c>
      <c r="K10" s="44" t="n"/>
      <c r="L10" s="44" t="n"/>
      <c r="M10" s="49" t="n"/>
      <c r="N10" s="45" t="n"/>
      <c r="O10" s="44" t="n"/>
      <c r="P10" s="44" t="n"/>
      <c r="Q10" s="44" t="n"/>
      <c r="R10" s="45" t="n"/>
      <c r="S10" s="47">
        <f>IF(K10=0,"",L10/K10)</f>
        <v/>
      </c>
      <c r="T10" s="47">
        <f>IF(O10=0,"",P10/O10)</f>
        <v/>
      </c>
      <c r="U10" s="50">
        <f>IF(L10=0,"",Q10/L10)</f>
        <v/>
      </c>
      <c r="V10" s="19">
        <f>IF(OR(R10="",Metas!$E$20=0),"",R10/Metas!$E$20)</f>
        <v/>
      </c>
      <c r="W10" s="44" t="n"/>
      <c r="X10" s="44" t="n"/>
      <c r="Y10" s="49" t="n"/>
      <c r="Z10" s="44" t="n"/>
      <c r="AA10" s="44" t="n"/>
      <c r="AB10" s="47">
        <f>IF(W10=0,"",X10/W10)</f>
        <v/>
      </c>
      <c r="AC10" s="47">
        <f>IF(Z10=0,"",AA10/Z10)</f>
        <v/>
      </c>
      <c r="AD10" s="51" t="n"/>
      <c r="AE10" s="52" t="n"/>
    </row>
    <row r="11">
      <c r="A11" s="12" t="n">
        <v>6</v>
      </c>
      <c r="B11" s="42" t="n">
        <v>46146</v>
      </c>
      <c r="C11" s="43">
        <f>B11+6</f>
        <v/>
      </c>
      <c r="D11" s="44" t="n"/>
      <c r="E11" s="44" t="n"/>
      <c r="F11" s="45" t="n"/>
      <c r="G11" s="46" t="n"/>
      <c r="H11" s="46" t="n"/>
      <c r="I11" s="47">
        <f>IF(D11=0,"",E11/D11)</f>
        <v/>
      </c>
      <c r="J11" s="48">
        <f>IF(E11=0,"",F11/E11)</f>
        <v/>
      </c>
      <c r="K11" s="44" t="n"/>
      <c r="L11" s="44" t="n"/>
      <c r="M11" s="49" t="n"/>
      <c r="N11" s="45" t="n"/>
      <c r="O11" s="44" t="n"/>
      <c r="P11" s="44" t="n"/>
      <c r="Q11" s="44" t="n"/>
      <c r="R11" s="45" t="n"/>
      <c r="S11" s="47">
        <f>IF(K11=0,"",L11/K11)</f>
        <v/>
      </c>
      <c r="T11" s="47">
        <f>IF(O11=0,"",P11/O11)</f>
        <v/>
      </c>
      <c r="U11" s="50">
        <f>IF(L11=0,"",Q11/L11)</f>
        <v/>
      </c>
      <c r="V11" s="19">
        <f>IF(OR(R11="",Metas!$E$20=0),"",R11/Metas!$E$20)</f>
        <v/>
      </c>
      <c r="W11" s="44" t="n"/>
      <c r="X11" s="44" t="n"/>
      <c r="Y11" s="49" t="n"/>
      <c r="Z11" s="44" t="n"/>
      <c r="AA11" s="44" t="n"/>
      <c r="AB11" s="47">
        <f>IF(W11=0,"",X11/W11)</f>
        <v/>
      </c>
      <c r="AC11" s="47">
        <f>IF(Z11=0,"",AA11/Z11)</f>
        <v/>
      </c>
      <c r="AD11" s="51" t="n"/>
      <c r="AE11" s="52" t="n"/>
    </row>
    <row r="12">
      <c r="A12" s="12" t="n">
        <v>7</v>
      </c>
      <c r="B12" s="42" t="n">
        <v>46153</v>
      </c>
      <c r="C12" s="43">
        <f>B12+6</f>
        <v/>
      </c>
      <c r="D12" s="44" t="n"/>
      <c r="E12" s="44" t="n"/>
      <c r="F12" s="45" t="n"/>
      <c r="G12" s="46" t="n"/>
      <c r="H12" s="46" t="n"/>
      <c r="I12" s="47">
        <f>IF(D12=0,"",E12/D12)</f>
        <v/>
      </c>
      <c r="J12" s="48">
        <f>IF(E12=0,"",F12/E12)</f>
        <v/>
      </c>
      <c r="K12" s="44" t="n"/>
      <c r="L12" s="44" t="n"/>
      <c r="M12" s="49" t="n"/>
      <c r="N12" s="45" t="n"/>
      <c r="O12" s="44" t="n"/>
      <c r="P12" s="44" t="n"/>
      <c r="Q12" s="44" t="n"/>
      <c r="R12" s="45" t="n"/>
      <c r="S12" s="47">
        <f>IF(K12=0,"",L12/K12)</f>
        <v/>
      </c>
      <c r="T12" s="47">
        <f>IF(O12=0,"",P12/O12)</f>
        <v/>
      </c>
      <c r="U12" s="50">
        <f>IF(L12=0,"",Q12/L12)</f>
        <v/>
      </c>
      <c r="V12" s="19">
        <f>IF(OR(R12="",Metas!$E$20=0),"",R12/Metas!$E$20)</f>
        <v/>
      </c>
      <c r="W12" s="44" t="n"/>
      <c r="X12" s="44" t="n"/>
      <c r="Y12" s="49" t="n"/>
      <c r="Z12" s="44" t="n"/>
      <c r="AA12" s="44" t="n"/>
      <c r="AB12" s="47">
        <f>IF(W12=0,"",X12/W12)</f>
        <v/>
      </c>
      <c r="AC12" s="47">
        <f>IF(Z12=0,"",AA12/Z12)</f>
        <v/>
      </c>
      <c r="AD12" s="51" t="n"/>
      <c r="AE12" s="52" t="n"/>
    </row>
    <row r="13">
      <c r="A13" s="12" t="n">
        <v>8</v>
      </c>
      <c r="B13" s="42" t="n">
        <v>46160</v>
      </c>
      <c r="C13" s="43">
        <f>B13+6</f>
        <v/>
      </c>
      <c r="D13" s="44" t="n"/>
      <c r="E13" s="44" t="n"/>
      <c r="F13" s="45" t="n"/>
      <c r="G13" s="46" t="n"/>
      <c r="H13" s="46" t="n"/>
      <c r="I13" s="47">
        <f>IF(D13=0,"",E13/D13)</f>
        <v/>
      </c>
      <c r="J13" s="48">
        <f>IF(E13=0,"",F13/E13)</f>
        <v/>
      </c>
      <c r="K13" s="44" t="n"/>
      <c r="L13" s="44" t="n"/>
      <c r="M13" s="49" t="n"/>
      <c r="N13" s="45" t="n"/>
      <c r="O13" s="44" t="n"/>
      <c r="P13" s="44" t="n"/>
      <c r="Q13" s="44" t="n"/>
      <c r="R13" s="45" t="n"/>
      <c r="S13" s="47">
        <f>IF(K13=0,"",L13/K13)</f>
        <v/>
      </c>
      <c r="T13" s="47">
        <f>IF(O13=0,"",P13/O13)</f>
        <v/>
      </c>
      <c r="U13" s="50">
        <f>IF(L13=0,"",Q13/L13)</f>
        <v/>
      </c>
      <c r="V13" s="19">
        <f>IF(OR(R13="",Metas!$E$20=0),"",R13/Metas!$E$20)</f>
        <v/>
      </c>
      <c r="W13" s="44" t="n"/>
      <c r="X13" s="44" t="n"/>
      <c r="Y13" s="49" t="n"/>
      <c r="Z13" s="44" t="n"/>
      <c r="AA13" s="44" t="n"/>
      <c r="AB13" s="47">
        <f>IF(W13=0,"",X13/W13)</f>
        <v/>
      </c>
      <c r="AC13" s="47">
        <f>IF(Z13=0,"",AA13/Z13)</f>
        <v/>
      </c>
      <c r="AD13" s="51" t="n"/>
      <c r="AE13" s="52" t="n"/>
    </row>
    <row r="14">
      <c r="A14" s="12" t="n">
        <v>9</v>
      </c>
      <c r="B14" s="42" t="n">
        <v>46167</v>
      </c>
      <c r="C14" s="43">
        <f>B14+6</f>
        <v/>
      </c>
      <c r="D14" s="44" t="n"/>
      <c r="E14" s="44" t="n"/>
      <c r="F14" s="45" t="n"/>
      <c r="G14" s="46" t="n"/>
      <c r="H14" s="46" t="n"/>
      <c r="I14" s="47">
        <f>IF(D14=0,"",E14/D14)</f>
        <v/>
      </c>
      <c r="J14" s="48">
        <f>IF(E14=0,"",F14/E14)</f>
        <v/>
      </c>
      <c r="K14" s="44" t="n"/>
      <c r="L14" s="44" t="n"/>
      <c r="M14" s="49" t="n"/>
      <c r="N14" s="45" t="n"/>
      <c r="O14" s="44" t="n"/>
      <c r="P14" s="44" t="n"/>
      <c r="Q14" s="44" t="n"/>
      <c r="R14" s="45" t="n"/>
      <c r="S14" s="47">
        <f>IF(K14=0,"",L14/K14)</f>
        <v/>
      </c>
      <c r="T14" s="47">
        <f>IF(O14=0,"",P14/O14)</f>
        <v/>
      </c>
      <c r="U14" s="50">
        <f>IF(L14=0,"",Q14/L14)</f>
        <v/>
      </c>
      <c r="V14" s="19">
        <f>IF(OR(R14="",Metas!$E$20=0),"",R14/Metas!$E$20)</f>
        <v/>
      </c>
      <c r="W14" s="44" t="n"/>
      <c r="X14" s="44" t="n"/>
      <c r="Y14" s="49" t="n"/>
      <c r="Z14" s="44" t="n"/>
      <c r="AA14" s="44" t="n"/>
      <c r="AB14" s="47">
        <f>IF(W14=0,"",X14/W14)</f>
        <v/>
      </c>
      <c r="AC14" s="47">
        <f>IF(Z14=0,"",AA14/Z14)</f>
        <v/>
      </c>
      <c r="AD14" s="51" t="n"/>
      <c r="AE14" s="52" t="n"/>
    </row>
    <row r="15">
      <c r="A15" s="12" t="n">
        <v>10</v>
      </c>
      <c r="B15" s="42" t="n">
        <v>46174</v>
      </c>
      <c r="C15" s="43">
        <f>B15+6</f>
        <v/>
      </c>
      <c r="D15" s="44" t="n"/>
      <c r="E15" s="44" t="n"/>
      <c r="F15" s="45" t="n"/>
      <c r="G15" s="46" t="n"/>
      <c r="H15" s="46" t="n"/>
      <c r="I15" s="47">
        <f>IF(D15=0,"",E15/D15)</f>
        <v/>
      </c>
      <c r="J15" s="48">
        <f>IF(E15=0,"",F15/E15)</f>
        <v/>
      </c>
      <c r="K15" s="44" t="n"/>
      <c r="L15" s="44" t="n"/>
      <c r="M15" s="49" t="n"/>
      <c r="N15" s="45" t="n"/>
      <c r="O15" s="44" t="n"/>
      <c r="P15" s="44" t="n"/>
      <c r="Q15" s="44" t="n"/>
      <c r="R15" s="45" t="n"/>
      <c r="S15" s="47">
        <f>IF(K15=0,"",L15/K15)</f>
        <v/>
      </c>
      <c r="T15" s="47">
        <f>IF(O15=0,"",P15/O15)</f>
        <v/>
      </c>
      <c r="U15" s="50">
        <f>IF(L15=0,"",Q15/L15)</f>
        <v/>
      </c>
      <c r="V15" s="19">
        <f>IF(OR(R15="",Metas!$E$20=0),"",R15/Metas!$E$20)</f>
        <v/>
      </c>
      <c r="W15" s="44" t="n"/>
      <c r="X15" s="44" t="n"/>
      <c r="Y15" s="49" t="n"/>
      <c r="Z15" s="44" t="n"/>
      <c r="AA15" s="44" t="n"/>
      <c r="AB15" s="47">
        <f>IF(W15=0,"",X15/W15)</f>
        <v/>
      </c>
      <c r="AC15" s="47">
        <f>IF(Z15=0,"",AA15/Z15)</f>
        <v/>
      </c>
      <c r="AD15" s="51" t="n"/>
      <c r="AE15" s="52" t="n"/>
    </row>
    <row r="16">
      <c r="A16" s="12" t="n">
        <v>11</v>
      </c>
      <c r="B16" s="42" t="n">
        <v>46181</v>
      </c>
      <c r="C16" s="43">
        <f>B16+6</f>
        <v/>
      </c>
      <c r="D16" s="44" t="n"/>
      <c r="E16" s="44" t="n"/>
      <c r="F16" s="45" t="n"/>
      <c r="G16" s="46" t="n"/>
      <c r="H16" s="46" t="n"/>
      <c r="I16" s="47">
        <f>IF(D16=0,"",E16/D16)</f>
        <v/>
      </c>
      <c r="J16" s="48">
        <f>IF(E16=0,"",F16/E16)</f>
        <v/>
      </c>
      <c r="K16" s="44" t="n"/>
      <c r="L16" s="44" t="n"/>
      <c r="M16" s="49" t="n"/>
      <c r="N16" s="45" t="n"/>
      <c r="O16" s="44" t="n"/>
      <c r="P16" s="44" t="n"/>
      <c r="Q16" s="44" t="n"/>
      <c r="R16" s="45" t="n"/>
      <c r="S16" s="47">
        <f>IF(K16=0,"",L16/K16)</f>
        <v/>
      </c>
      <c r="T16" s="47">
        <f>IF(O16=0,"",P16/O16)</f>
        <v/>
      </c>
      <c r="U16" s="50">
        <f>IF(L16=0,"",Q16/L16)</f>
        <v/>
      </c>
      <c r="V16" s="19">
        <f>IF(OR(R16="",Metas!$E$20=0),"",R16/Metas!$E$20)</f>
        <v/>
      </c>
      <c r="W16" s="44" t="n"/>
      <c r="X16" s="44" t="n"/>
      <c r="Y16" s="49" t="n"/>
      <c r="Z16" s="44" t="n"/>
      <c r="AA16" s="44" t="n"/>
      <c r="AB16" s="47">
        <f>IF(W16=0,"",X16/W16)</f>
        <v/>
      </c>
      <c r="AC16" s="47">
        <f>IF(Z16=0,"",AA16/Z16)</f>
        <v/>
      </c>
      <c r="AD16" s="51" t="n"/>
      <c r="AE16" s="52" t="n"/>
    </row>
    <row r="17">
      <c r="A17" s="12" t="n">
        <v>12</v>
      </c>
      <c r="B17" s="42" t="n">
        <v>46188</v>
      </c>
      <c r="C17" s="43">
        <f>B17+6</f>
        <v/>
      </c>
      <c r="D17" s="44" t="n"/>
      <c r="E17" s="44" t="n"/>
      <c r="F17" s="45" t="n"/>
      <c r="G17" s="46" t="n"/>
      <c r="H17" s="46" t="n"/>
      <c r="I17" s="47">
        <f>IF(D17=0,"",E17/D17)</f>
        <v/>
      </c>
      <c r="J17" s="48">
        <f>IF(E17=0,"",F17/E17)</f>
        <v/>
      </c>
      <c r="K17" s="44" t="n"/>
      <c r="L17" s="44" t="n"/>
      <c r="M17" s="49" t="n"/>
      <c r="N17" s="45" t="n"/>
      <c r="O17" s="44" t="n"/>
      <c r="P17" s="44" t="n"/>
      <c r="Q17" s="44" t="n"/>
      <c r="R17" s="45" t="n"/>
      <c r="S17" s="47">
        <f>IF(K17=0,"",L17/K17)</f>
        <v/>
      </c>
      <c r="T17" s="47">
        <f>IF(O17=0,"",P17/O17)</f>
        <v/>
      </c>
      <c r="U17" s="50">
        <f>IF(L17=0,"",Q17/L17)</f>
        <v/>
      </c>
      <c r="V17" s="19">
        <f>IF(OR(R17="",Metas!$E$20=0),"",R17/Metas!$E$20)</f>
        <v/>
      </c>
      <c r="W17" s="44" t="n"/>
      <c r="X17" s="44" t="n"/>
      <c r="Y17" s="49" t="n"/>
      <c r="Z17" s="44" t="n"/>
      <c r="AA17" s="44" t="n"/>
      <c r="AB17" s="47">
        <f>IF(W17=0,"",X17/W17)</f>
        <v/>
      </c>
      <c r="AC17" s="47">
        <f>IF(Z17=0,"",AA17/Z17)</f>
        <v/>
      </c>
      <c r="AD17" s="51" t="n"/>
      <c r="AE17" s="52" t="n"/>
    </row>
    <row r="18">
      <c r="A18" s="12" t="n">
        <v>13</v>
      </c>
      <c r="B18" s="42" t="n">
        <v>46195</v>
      </c>
      <c r="C18" s="43">
        <f>B18+6</f>
        <v/>
      </c>
      <c r="D18" s="44" t="n"/>
      <c r="E18" s="44" t="n"/>
      <c r="F18" s="45" t="n"/>
      <c r="G18" s="46" t="n"/>
      <c r="H18" s="46" t="n"/>
      <c r="I18" s="47">
        <f>IF(D18=0,"",E18/D18)</f>
        <v/>
      </c>
      <c r="J18" s="48">
        <f>IF(E18=0,"",F18/E18)</f>
        <v/>
      </c>
      <c r="K18" s="44" t="n"/>
      <c r="L18" s="44" t="n"/>
      <c r="M18" s="49" t="n"/>
      <c r="N18" s="45" t="n"/>
      <c r="O18" s="44" t="n"/>
      <c r="P18" s="44" t="n"/>
      <c r="Q18" s="44" t="n"/>
      <c r="R18" s="45" t="n"/>
      <c r="S18" s="47">
        <f>IF(K18=0,"",L18/K18)</f>
        <v/>
      </c>
      <c r="T18" s="47">
        <f>IF(O18=0,"",P18/O18)</f>
        <v/>
      </c>
      <c r="U18" s="50">
        <f>IF(L18=0,"",Q18/L18)</f>
        <v/>
      </c>
      <c r="V18" s="19">
        <f>IF(OR(R18="",Metas!$E$20=0),"",R18/Metas!$E$20)</f>
        <v/>
      </c>
      <c r="W18" s="44" t="n"/>
      <c r="X18" s="44" t="n"/>
      <c r="Y18" s="49" t="n"/>
      <c r="Z18" s="44" t="n"/>
      <c r="AA18" s="44" t="n"/>
      <c r="AB18" s="47">
        <f>IF(W18=0,"",X18/W18)</f>
        <v/>
      </c>
      <c r="AC18" s="47">
        <f>IF(Z18=0,"",AA18/Z18)</f>
        <v/>
      </c>
      <c r="AD18" s="51" t="n"/>
      <c r="AE18" s="52" t="n"/>
    </row>
    <row r="19">
      <c r="A19" s="12" t="n">
        <v>14</v>
      </c>
      <c r="B19" s="42" t="n">
        <v>46202</v>
      </c>
      <c r="C19" s="43">
        <f>B19+6</f>
        <v/>
      </c>
      <c r="D19" s="44" t="n"/>
      <c r="E19" s="44" t="n"/>
      <c r="F19" s="45" t="n"/>
      <c r="G19" s="46" t="n"/>
      <c r="H19" s="46" t="n"/>
      <c r="I19" s="47">
        <f>IF(D19=0,"",E19/D19)</f>
        <v/>
      </c>
      <c r="J19" s="48">
        <f>IF(E19=0,"",F19/E19)</f>
        <v/>
      </c>
      <c r="K19" s="44" t="n"/>
      <c r="L19" s="44" t="n"/>
      <c r="M19" s="49" t="n"/>
      <c r="N19" s="45" t="n"/>
      <c r="O19" s="44" t="n"/>
      <c r="P19" s="44" t="n"/>
      <c r="Q19" s="44" t="n"/>
      <c r="R19" s="45" t="n"/>
      <c r="S19" s="47">
        <f>IF(K19=0,"",L19/K19)</f>
        <v/>
      </c>
      <c r="T19" s="47">
        <f>IF(O19=0,"",P19/O19)</f>
        <v/>
      </c>
      <c r="U19" s="50">
        <f>IF(L19=0,"",Q19/L19)</f>
        <v/>
      </c>
      <c r="V19" s="19">
        <f>IF(OR(R19="",Metas!$E$20=0),"",R19/Metas!$E$20)</f>
        <v/>
      </c>
      <c r="W19" s="44" t="n"/>
      <c r="X19" s="44" t="n"/>
      <c r="Y19" s="49" t="n"/>
      <c r="Z19" s="44" t="n"/>
      <c r="AA19" s="44" t="n"/>
      <c r="AB19" s="47">
        <f>IF(W19=0,"",X19/W19)</f>
        <v/>
      </c>
      <c r="AC19" s="47">
        <f>IF(Z19=0,"",AA19/Z19)</f>
        <v/>
      </c>
      <c r="AD19" s="51" t="n"/>
      <c r="AE19" s="52" t="n"/>
    </row>
    <row r="20">
      <c r="A20" s="12" t="n">
        <v>15</v>
      </c>
      <c r="B20" s="42" t="n">
        <v>46209</v>
      </c>
      <c r="C20" s="43">
        <f>B20+6</f>
        <v/>
      </c>
      <c r="D20" s="44" t="n"/>
      <c r="E20" s="44" t="n"/>
      <c r="F20" s="45" t="n"/>
      <c r="G20" s="46" t="n"/>
      <c r="H20" s="46" t="n"/>
      <c r="I20" s="47">
        <f>IF(D20=0,"",E20/D20)</f>
        <v/>
      </c>
      <c r="J20" s="48">
        <f>IF(E20=0,"",F20/E20)</f>
        <v/>
      </c>
      <c r="K20" s="44" t="n"/>
      <c r="L20" s="44" t="n"/>
      <c r="M20" s="49" t="n"/>
      <c r="N20" s="45" t="n"/>
      <c r="O20" s="44" t="n"/>
      <c r="P20" s="44" t="n"/>
      <c r="Q20" s="44" t="n"/>
      <c r="R20" s="45" t="n"/>
      <c r="S20" s="47">
        <f>IF(K20=0,"",L20/K20)</f>
        <v/>
      </c>
      <c r="T20" s="47">
        <f>IF(O20=0,"",P20/O20)</f>
        <v/>
      </c>
      <c r="U20" s="50">
        <f>IF(L20=0,"",Q20/L20)</f>
        <v/>
      </c>
      <c r="V20" s="19">
        <f>IF(OR(R20="",Metas!$E$20=0),"",R20/Metas!$E$20)</f>
        <v/>
      </c>
      <c r="W20" s="44" t="n"/>
      <c r="X20" s="44" t="n"/>
      <c r="Y20" s="49" t="n"/>
      <c r="Z20" s="44" t="n"/>
      <c r="AA20" s="44" t="n"/>
      <c r="AB20" s="47">
        <f>IF(W20=0,"",X20/W20)</f>
        <v/>
      </c>
      <c r="AC20" s="47">
        <f>IF(Z20=0,"",AA20/Z20)</f>
        <v/>
      </c>
      <c r="AD20" s="51" t="n"/>
      <c r="AE20" s="52" t="n"/>
    </row>
    <row r="21">
      <c r="A21" s="12" t="n">
        <v>16</v>
      </c>
      <c r="B21" s="42" t="n">
        <v>46216</v>
      </c>
      <c r="C21" s="43">
        <f>B21+6</f>
        <v/>
      </c>
      <c r="D21" s="44" t="n">
        <v>22</v>
      </c>
      <c r="E21" s="44" t="n">
        <v>9</v>
      </c>
      <c r="F21" s="45" t="n">
        <v>2800</v>
      </c>
      <c r="G21" s="46" t="n">
        <v>0.28</v>
      </c>
      <c r="H21" s="46" t="n">
        <v>0.41</v>
      </c>
      <c r="I21" s="47">
        <f>IF(D21=0,"",E21/D21)</f>
        <v/>
      </c>
      <c r="J21" s="48">
        <f>IF(E21=0,"",F21/E21)</f>
        <v/>
      </c>
      <c r="K21" s="44" t="n">
        <v>9</v>
      </c>
      <c r="L21" s="44" t="n">
        <v>3</v>
      </c>
      <c r="M21" s="49" t="n">
        <v>38</v>
      </c>
      <c r="N21" s="45" t="n">
        <v>18500</v>
      </c>
      <c r="O21" s="44" t="n">
        <v>7</v>
      </c>
      <c r="P21" s="44" t="n">
        <v>3</v>
      </c>
      <c r="Q21" s="44" t="n">
        <v>5</v>
      </c>
      <c r="R21" s="45" t="n">
        <v>240000</v>
      </c>
      <c r="S21" s="47">
        <f>IF(K21=0,"",L21/K21)</f>
        <v/>
      </c>
      <c r="T21" s="47">
        <f>IF(O21=0,"",P21/O21)</f>
        <v/>
      </c>
      <c r="U21" s="50">
        <f>IF(L21=0,"",Q21/L21)</f>
        <v/>
      </c>
      <c r="V21" s="19">
        <f>IF(OR(R21="",Metas!$E$20=0),"",R21/Metas!$E$20)</f>
        <v/>
      </c>
      <c r="W21" s="44" t="n">
        <v>9</v>
      </c>
      <c r="X21" s="44" t="n">
        <v>8</v>
      </c>
      <c r="Y21" s="49" t="n">
        <v>18</v>
      </c>
      <c r="Z21" s="44" t="n">
        <v>2</v>
      </c>
      <c r="AA21" s="44" t="n">
        <v>2</v>
      </c>
      <c r="AB21" s="47">
        <f>IF(W21=0,"",X21/W21)</f>
        <v/>
      </c>
      <c r="AC21" s="47">
        <f>IF(Z21=0,"",AA21/Z21)</f>
        <v/>
      </c>
      <c r="AD21" s="51" t="inlineStr">
        <is>
          <t>Aceite ok. 1 SQL devolvido: lojista fora do ICP. Ajustar scoring.</t>
        </is>
      </c>
      <c r="AE21" s="52" t="inlineStr">
        <is>
          <t>Time comercial</t>
        </is>
      </c>
    </row>
  </sheetData>
  <mergeCells count="7">
    <mergeCell ref="D4:J4"/>
    <mergeCell ref="A2:AH2"/>
    <mergeCell ref="W4:AC4"/>
    <mergeCell ref="A1:AH1"/>
    <mergeCell ref="K4:V4"/>
    <mergeCell ref="A4:C4"/>
    <mergeCell ref="AD4:A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2026-07-19T13:30:25Z</dcterms:created>
  <dcterms:modified xsi:type="dcterms:W3CDTF">2026-07-19T13:30:25Z</dcterms:modified>
</cp:coreProperties>
</file>